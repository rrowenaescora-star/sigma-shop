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4e041a98f742f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 Prices" sheetId="1" r:id="R759da0f03b8d4a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#,##0"/>
    <x:numFmt numFmtId="202" formatCode="&quot;$&quot;#,##0.00"/>
    <x:numFmt numFmtId="203" formatCode="&quot;₱&quot;#,##0.00"/>
  </x:numFmts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D9F4FF"/>
      <x:name val="Carlito"/>
    </x:font>
    <x:font>
      <x:b/>
      <x:sz val="11"/>
      <x:color rgb="FFFFFFFF"/>
      <x:name val="Carlito"/>
    </x:font>
    <x:font>
      <x:i/>
      <x:sz val="11"/>
      <x:color rgb="FFC6F6D5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E2D"/>
      </x:patternFill>
    </x:fill>
    <x:fill>
      <x:patternFill patternType="solid">
        <x:fgColor rgb="FF16344A"/>
      </x:patternFill>
    </x:fill>
    <x:fill>
      <x:patternFill patternType="solid">
        <x:fgColor rgb="FF102A3B"/>
      </x:patternFill>
    </x:fill>
    <x:fill>
      <x:patternFill patternType="solid">
        <x:fgColor rgb="FF0F2A24"/>
      </x:patternFill>
    </x:fill>
    <x:fill>
      <x:patternFill patternType="solid">
        <x:fgColor rgb="FF126B71"/>
      </x:patternFill>
    </x:fill>
  </x:fills>
  <x:borders count="7">
    <x:border/>
    <x:border>
      <x:left style="thin">
        <x:color rgb="FF3BC4C4"/>
      </x:left>
      <x:top style="thin">
        <x:color rgb="FF3BC4C4"/>
      </x:top>
      <x:bottom style="thin">
        <x:color rgb="FF3BC4C4"/>
      </x:bottom>
    </x:border>
    <x:border>
      <x:top style="thin">
        <x:color rgb="FF3BC4C4"/>
      </x:top>
      <x:bottom style="thin">
        <x:color rgb="FF3BC4C4"/>
      </x:bottom>
    </x:border>
    <x:border>
      <x:right style="thin">
        <x:color rgb="FF3BC4C4"/>
      </x:right>
      <x:top style="thin">
        <x:color rgb="FF3BC4C4"/>
      </x:top>
      <x:bottom style="thin">
        <x:color rgb="FF3BC4C4"/>
      </x:bottom>
    </x:border>
    <x:border>
      <x:bottom style="thin">
        <x:color rgb="FFD6E5E8"/>
      </x:bottom>
    </x:border>
    <x:border>
      <x:top style="thin">
        <x:color rgb="FFD6E5E8"/>
      </x:top>
      <x:bottom style="thin">
        <x:color rgb="FFD6E5E8"/>
      </x:bottom>
    </x:border>
    <x:border>
      <x:top style="thin">
        <x:color rgb="FFD6E5E8"/>
      </x:top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200" fontId="3" fillId="4" borderId="0" xfId="0" applyNumberFormat="1" applyFont="1" applyFill="1" applyBorder="1"/>
    <x:xf numFmtId="201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horizontal="center" wrapText="1"/>
    </x:xf>
    <x:xf numFmtId="0" fontId="3" fillId="6" borderId="2" xfId="0" applyNumberFormat="1" applyFont="1" applyFill="1" applyBorder="1" applyAlignment="1">
      <x:alignment horizontal="center" wrapText="1"/>
    </x:xf>
    <x:xf numFmtId="0" fontId="3" fillId="6" borderId="3" xfId="0" applyNumberFormat="1" applyFont="1" applyFill="1" applyBorder="1" applyAlignment="1">
      <x:alignment horizontal="center" wrapText="1"/>
    </x:xf>
    <x:xf numFmtId="0" fontId="3" fillId="6" borderId="1" xfId="0" applyNumberFormat="1" applyFont="1" applyFill="1" applyBorder="1" applyAlignment="1">
      <x:alignment horizontal="center" vertical="center" wrapText="1"/>
    </x:xf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202" fontId="0" fillId="0" borderId="6" xfId="0" applyNumberFormat="1" applyFont="1" applyFill="1" applyBorder="1" applyAlignment="1">
      <x:alignment vertical="center"/>
    </x:xf>
    <x:xf numFmtId="203" fontId="0" fillId="0" borderId="4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203" fontId="0" fillId="0" borderId="6" xfId="0" applyNumberFormat="1" applyFont="1" applyFill="1" applyBorder="1" applyAlignment="1">
      <x:alignment vertical="center"/>
    </x:xf>
    <x:xf numFmtId="201" fontId="0" fillId="0" borderId="4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ont>
        <x:b/>
        <x:color rgb="FF86198F"/>
      </x:font>
      <x:fill>
        <x:patternFill patternType="solid">
          <x:bgColor rgb="FFF5E8FF"/>
        </x:patternFill>
      </x:fill>
    </x:dxf>
    <x:dxf>
      <x:font>
        <x:b/>
        <x:color rgb="FF0E7490"/>
      </x:font>
      <x:fill>
        <x:patternFill patternType="solid">
          <x:bgColor rgb="FFE0F7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1bf7a092334e89" /><Relationship Type="http://schemas.openxmlformats.org/officeDocument/2006/relationships/theme" Target="/xl/theme/theme1.xml" Id="R332166876cfd4a3c" /><Relationship Type="http://schemas.openxmlformats.org/officeDocument/2006/relationships/sharedStrings" Target="/xl/sharedStrings.xml" Id="Rc2b77136eb404b30" /><Relationship Type="http://schemas.openxmlformats.org/officeDocument/2006/relationships/worksheet" Target="/xl/worksheets/sheet1.xml" Id="R759da0f03b8d4af1" /></Relationships>
</file>

<file path=xl/tables/table1.xml><?xml version="1.0" encoding="utf-8"?>
<x:table xmlns:x="http://schemas.openxmlformats.org/spreadsheetml/2006/main" id="1" name="ProductPriceTable" displayName="ProductPriceTable" ref="A6:L58" headerRowCount="1" totalsRowCount="0" totalsRowShown="0">
  <x:tableColumns count="12">
    <x:tableColumn id="1" name="SKU"/>
    <x:tableColumn id="2" name="Product"/>
    <x:tableColumn id="3" name="Category"/>
    <x:tableColumn id="4" name="Tags"/>
    <x:tableColumn id="5" name="Stock Status"/>
    <x:tableColumn id="6" name="Qty"/>
    <x:tableColumn id="7" name="Price (USD)"/>
    <x:tableColumn id="8" name="Price (PHP)"/>
    <x:tableColumn id="9" name="Compare Price (USD)"/>
    <x:tableColumn id="10" name="Compare Price (PHP)"/>
    <x:tableColumn id="11" name="Cost (USD)"/>
    <x:tableColumn id="12" name="Cost (PHP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2fedfb50ee443e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18" hidden="0" customWidth="1"/>
    <x:col min="4" max="4" width="25" hidden="0" customWidth="1"/>
    <x:col min="5" max="5" width="14" hidden="0" customWidth="1"/>
    <x:col min="6" max="6" width="9" hidden="0" customWidth="1"/>
    <x:col min="7" max="7" width="15" hidden="0" customWidth="1"/>
    <x:col min="8" max="8" width="15" hidden="0" customWidth="1"/>
    <x:col min="9" max="9" width="20" hidden="0" customWidth="1"/>
    <x:col min="10" max="10" width="20" hidden="0" customWidth="1"/>
    <x:col min="11" max="11" width="14" hidden="0" customWidth="1"/>
    <x:col min="12" max="12" width="14" hidden="0" customWidth="1"/>
  </x:cols>
  <x:sheetData>
    <x:row r="1" ht="30" customHeight="1">
      <x:c r="A1" s="4" t="str">
        <x:v>BLOXHOP PRODUCT PRICE LIST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3">
      <x:c r="A3" s="6" t="str">
        <x:v>USD to PHP rate</x:v>
      </x:c>
      <x:c r="B3" s="9" t="n">
        <x:v>62.51</x:v>
      </x:c>
      <x:c r="D3" s="14" t="str">
        <x:v>PHP amounts are based on the rate at left. Change B3 to update the USD formula columns.</x:v>
      </x:c>
      <x:c r="E3" s="14"/>
      <x:c r="F3" s="14"/>
      <x:c r="G3" s="14"/>
      <x:c r="H3" s="14"/>
      <x:c r="I3" s="14"/>
      <x:c r="J3" s="14"/>
      <x:c r="K3" s="14"/>
      <x:c r="L3" s="14"/>
    </x:row>
    <x:row r="4">
      <x:c r="A4" s="6" t="str">
        <x:v>Products listed</x:v>
      </x:c>
      <x:c r="B4" s="10" t="n">
        <x:v>52</x:v>
      </x:c>
      <x:c r="D4" s="14"/>
      <x:c r="E4" s="14"/>
      <x:c r="F4" s="14"/>
      <x:c r="G4" s="14"/>
      <x:c r="H4" s="14"/>
      <x:c r="I4" s="14"/>
      <x:c r="J4" s="14"/>
      <x:c r="K4" s="14"/>
      <x:c r="L4" s="14"/>
    </x:row>
    <x:row r="6" ht="32" customHeight="1">
      <x:c r="A6" s="26" t="str">
        <x:v>SKU</x:v>
      </x:c>
      <x:c r="B6" s="27" t="str">
        <x:v>Product</x:v>
      </x:c>
      <x:c r="C6" s="27" t="str">
        <x:v>Category</x:v>
      </x:c>
      <x:c r="D6" s="27" t="str">
        <x:v>Tags</x:v>
      </x:c>
      <x:c r="E6" s="27" t="str">
        <x:v>Stock Status</x:v>
      </x:c>
      <x:c r="F6" s="27" t="str">
        <x:v>Qty</x:v>
      </x:c>
      <x:c r="G6" s="27" t="str">
        <x:v>Price (USD)</x:v>
      </x:c>
      <x:c r="H6" s="27" t="str">
        <x:v>Price (PHP)</x:v>
      </x:c>
      <x:c r="I6" s="27" t="str">
        <x:v>Compare Price (USD)</x:v>
      </x:c>
      <x:c r="J6" s="27" t="str">
        <x:v>Compare Price (PHP)</x:v>
      </x:c>
      <x:c r="K6" s="27" t="str">
        <x:v>Cost (USD)</x:v>
      </x:c>
      <x:c r="L6" s="28" t="str">
        <x:v>Cost (PHP)</x:v>
      </x:c>
    </x:row>
    <x:row r="7">
      <x:c r="A7" s="35" t="str">
        <x:v>BH-1</x:v>
      </x:c>
      <x:c r="B7" s="35" t="str">
        <x:v>Permanent Mammoth</x:v>
      </x:c>
      <x:c r="C7" s="35" t="str">
        <x:v>Permanent Fruits</x:v>
      </x:c>
      <x:c r="D7" s="35" t="str">
        <x:v>Permanent Fruits, blox-fruits</x:v>
      </x:c>
      <x:c r="E7" s="35" t="str">
        <x:v>Active</x:v>
      </x:c>
      <x:c r="F7" s="44" t="n">
        <x:v>10</x:v>
      </x:c>
      <x:c r="G7" s="38" t="n">
        <x:f>H7/$B$3</x:f>
        <x:v>23.98992161254199</x:v>
      </x:c>
      <x:c r="H7" s="41" t="n">
        <x:v>1499.61</x:v>
      </x:c>
      <x:c r="I7" s="38" t="n">
        <x:f>IF(J7="","",J7/$B$3)</x:f>
        <x:v>29.379939209726444</x:v>
      </x:c>
      <x:c r="J7" s="41" t="n">
        <x:v>1836.54</x:v>
      </x:c>
      <x:c r="K7" s="38" t="n">
        <x:f>IF(L7="","",L7/$B$3)</x:f>
        <x:v>2350</x:v>
      </x:c>
      <x:c r="L7" s="41" t="n">
        <x:v>146898.5</x:v>
      </x:c>
    </x:row>
    <x:row r="8">
      <x:c r="A8" s="36" t="str">
        <x:v>BH-2</x:v>
      </x:c>
      <x:c r="B8" s="36" t="str">
        <x:v>Permanent Tiger</x:v>
      </x:c>
      <x:c r="C8" s="36" t="str">
        <x:v>Permanent Fruits</x:v>
      </x:c>
      <x:c r="D8" s="36" t="str">
        <x:v>Permanent Fruits, blox-fruits</x:v>
      </x:c>
      <x:c r="E8" s="36" t="str">
        <x:v>Active</x:v>
      </x:c>
      <x:c r="F8" s="45" t="n">
        <x:v>10</x:v>
      </x:c>
      <x:c r="G8" s="39" t="n">
        <x:f>H8/$B$3</x:f>
        <x:v>30.74996000639898</x:v>
      </x:c>
      <x:c r="H8" s="42" t="n">
        <x:v>1922.18</x:v>
      </x:c>
      <x:c r="I8" s="39" t="n">
        <x:f>IF(J8="","",J8/$B$3)</x:f>
        <x:v>37.50007998720205</x:v>
      </x:c>
      <x:c r="J8" s="42" t="n">
        <x:v>2344.13</x:v>
      </x:c>
      <x:c r="K8" s="39" t="n">
        <x:f>IF(L8="","",L8/$B$3)</x:f>
        <x:v>3000</x:v>
      </x:c>
      <x:c r="L8" s="42" t="n">
        <x:v>187530</x:v>
      </x:c>
    </x:row>
    <x:row r="9">
      <x:c r="A9" s="36" t="str">
        <x:v>BH-3</x:v>
      </x:c>
      <x:c r="B9" s="36" t="str">
        <x:v>Permanent Gas</x:v>
      </x:c>
      <x:c r="C9" s="36" t="str">
        <x:v>Permanent Fruits</x:v>
      </x:c>
      <x:c r="D9" s="36" t="str">
        <x:v>Permanent Fruits, blox-fruits</x:v>
      </x:c>
      <x:c r="E9" s="36" t="str">
        <x:v>Active</x:v>
      </x:c>
      <x:c r="F9" s="45" t="n">
        <x:v>10</x:v>
      </x:c>
      <x:c r="G9" s="39" t="n">
        <x:f>H9/$B$3</x:f>
        <x:v>22.749960006398975</x:v>
      </x:c>
      <x:c r="H9" s="42" t="n">
        <x:v>1422.1</x:v>
      </x:c>
      <x:c r="I9" s="39" t="n">
        <x:f>IF(J9="","",J9/$B$3)</x:f>
        <x:v>31.250039993601025</x:v>
      </x:c>
      <x:c r="J9" s="42" t="n">
        <x:v>1953.44</x:v>
      </x:c>
      <x:c r="K9" s="39" t="n">
        <x:f>IF(L9="","",L9/$B$3)</x:f>
        <x:v>2500</x:v>
      </x:c>
      <x:c r="L9" s="42" t="n">
        <x:v>156275</x:v>
      </x:c>
    </x:row>
    <x:row r="10">
      <x:c r="A10" s="36" t="str">
        <x:v>BH-5</x:v>
      </x:c>
      <x:c r="B10" s="36" t="str">
        <x:v>Permanent Dragon</x:v>
      </x:c>
      <x:c r="C10" s="36" t="str">
        <x:v>Permanent Fruits</x:v>
      </x:c>
      <x:c r="D10" s="36" t="str">
        <x:v>Permanent Fruits, blox-fruits</x:v>
      </x:c>
      <x:c r="E10" s="36" t="str">
        <x:v>Active</x:v>
      </x:c>
      <x:c r="F10" s="45" t="n">
        <x:v>10</x:v>
      </x:c>
      <x:c r="G10" s="39" t="n">
        <x:f>H10/$B$3</x:f>
        <x:v>48.21004639257719</x:v>
      </x:c>
      <x:c r="H10" s="42" t="n">
        <x:v>3013.61</x:v>
      </x:c>
      <x:c r="I10" s="39" t="n">
        <x:f>IF(J10="","",J10/$B$3)</x:f>
        <x:v>62.50007998720205</x:v>
      </x:c>
      <x:c r="J10" s="42" t="n">
        <x:v>3906.88</x:v>
      </x:c>
      <x:c r="K10" s="39" t="n">
        <x:f>IF(L10="","",L10/$B$3)</x:f>
        <x:v>5000</x:v>
      </x:c>
      <x:c r="L10" s="42" t="n">
        <x:v>312550</x:v>
      </x:c>
    </x:row>
    <x:row r="11">
      <x:c r="A11" s="36" t="str">
        <x:v>BH-6</x:v>
      </x:c>
      <x:c r="B11" s="36" t="str">
        <x:v>Permanent Control</x:v>
      </x:c>
      <x:c r="C11" s="36" t="str">
        <x:v>Permanent Fruits</x:v>
      </x:c>
      <x:c r="D11" s="36" t="str">
        <x:v>Permanent Fruits, blox-fruits</x:v>
      </x:c>
      <x:c r="E11" s="36" t="str">
        <x:v>Active</x:v>
      </x:c>
      <x:c r="F11" s="45" t="n">
        <x:v>10</x:v>
      </x:c>
      <x:c r="G11" s="39" t="n">
        <x:f>H11/$B$3</x:f>
        <x:v>39.05007198848185</x:v>
      </x:c>
      <x:c r="H11" s="42" t="n">
        <x:v>2441.02</x:v>
      </x:c>
      <x:c r="I11" s="39" t="n">
        <x:f>IF(J11="","",J11/$B$3)</x:f>
        <x:v>50</x:v>
      </x:c>
      <x:c r="J11" s="42" t="n">
        <x:v>3125.5</x:v>
      </x:c>
      <x:c r="K11" s="39" t="n">
        <x:f>IF(L11="","",L11/$B$3)</x:f>
        <x:v>4000</x:v>
      </x:c>
      <x:c r="L11" s="42" t="n">
        <x:v>250040</x:v>
      </x:c>
    </x:row>
    <x:row r="12">
      <x:c r="A12" s="36" t="str">
        <x:v>BH-13</x:v>
      </x:c>
      <x:c r="B12" s="36" t="str">
        <x:v>Permanent T-rex</x:v>
      </x:c>
      <x:c r="C12" s="36" t="str">
        <x:v>Permanent Fruits</x:v>
      </x:c>
      <x:c r="D12" s="36" t="str">
        <x:v>Permanent Fruits, blox-fruits</x:v>
      </x:c>
      <x:c r="E12" s="36" t="str">
        <x:v>Active</x:v>
      </x:c>
      <x:c r="F12" s="45" t="n">
        <x:v>10</x:v>
      </x:c>
      <x:c r="G12" s="39" t="n">
        <x:f>H12/$B$3</x:f>
        <x:v>23.98992161254199</x:v>
      </x:c>
      <x:c r="H12" s="42" t="n">
        <x:v>1499.61</x:v>
      </x:c>
      <x:c r="I12" s="39" t="n">
        <x:f>IF(J12="","",J12/$B$3)</x:f>
        <x:v>29.379939209726444</x:v>
      </x:c>
      <x:c r="J12" s="42" t="n">
        <x:v>1836.54</x:v>
      </x:c>
      <x:c r="K12" s="39" t="n">
        <x:f>IF(L12="","",L12/$B$3)</x:f>
        <x:v>2350</x:v>
      </x:c>
      <x:c r="L12" s="42" t="n">
        <x:v>146898.5</x:v>
      </x:c>
    </x:row>
    <x:row r="13">
      <x:c r="A13" s="36" t="str">
        <x:v>BH-16</x:v>
      </x:c>
      <x:c r="B13" s="36" t="str">
        <x:v>Permanent Yeti</x:v>
      </x:c>
      <x:c r="C13" s="36" t="str">
        <x:v>Permanent Fruits</x:v>
      </x:c>
      <x:c r="D13" s="36" t="str">
        <x:v>Permanent Fruits, blox-fruits</x:v>
      </x:c>
      <x:c r="E13" s="36" t="str">
        <x:v>Active</x:v>
      </x:c>
      <x:c r="F13" s="45" t="n">
        <x:v>9</x:v>
      </x:c>
      <x:c r="G13" s="39" t="n">
        <x:f>H13/$B$3</x:f>
        <x:v>30.74996000639898</x:v>
      </x:c>
      <x:c r="H13" s="42" t="n">
        <x:v>1922.18</x:v>
      </x:c>
      <x:c r="I13" s="39" t="n">
        <x:f>IF(J13="","",J13/$B$3)</x:f>
        <x:v>37.50007998720205</x:v>
      </x:c>
      <x:c r="J13" s="42" t="n">
        <x:v>2344.13</x:v>
      </x:c>
      <x:c r="K13" s="39" t="n">
        <x:f>IF(L13="","",L13/$B$3)</x:f>
        <x:v>3000</x:v>
      </x:c>
      <x:c r="L13" s="42" t="n">
        <x:v>187530</x:v>
      </x:c>
    </x:row>
    <x:row r="14">
      <x:c r="A14" s="36" t="str">
        <x:v>BH-17</x:v>
      </x:c>
      <x:c r="B14" s="36" t="str">
        <x:v>Permanent Kitsune</x:v>
      </x:c>
      <x:c r="C14" s="36" t="str">
        <x:v>Permanent Fruits</x:v>
      </x:c>
      <x:c r="D14" s="36" t="str">
        <x:v>Permanent Fruits, blox-fruits</x:v>
      </x:c>
      <x:c r="E14" s="36" t="str">
        <x:v>Active</x:v>
      </x:c>
      <x:c r="F14" s="45" t="n">
        <x:v>9</x:v>
      </x:c>
      <x:c r="G14" s="39" t="n">
        <x:f>H14/$B$3</x:f>
        <x:v>39.05007198848185</x:v>
      </x:c>
      <x:c r="H14" s="42" t="n">
        <x:v>2441.02</x:v>
      </x:c>
      <x:c r="I14" s="39" t="n">
        <x:f>IF(J14="","",J14/$B$3)</x:f>
        <x:v>50</x:v>
      </x:c>
      <x:c r="J14" s="42" t="n">
        <x:v>3125.5</x:v>
      </x:c>
      <x:c r="K14" s="39" t="n">
        <x:f>IF(L14="","",L14/$B$3)</x:f>
        <x:v>4000</x:v>
      </x:c>
      <x:c r="L14" s="42" t="n">
        <x:v>250040</x:v>
      </x:c>
    </x:row>
    <x:row r="15">
      <x:c r="A15" s="36" t="str">
        <x:v>BH-29</x:v>
      </x:c>
      <x:c r="B15" s="36" t="str">
        <x:v>Permanent Dough</x:v>
      </x:c>
      <x:c r="C15" s="36" t="str">
        <x:v>Permanent Fruits</x:v>
      </x:c>
      <x:c r="D15" s="36" t="str">
        <x:v>Permanent Fruits, blox-fruits</x:v>
      </x:c>
      <x:c r="E15" s="36" t="str">
        <x:v>Active</x:v>
      </x:c>
      <x:c r="F15" s="45" t="n">
        <x:v>10</x:v>
      </x:c>
      <x:c r="G15" s="39" t="n">
        <x:f>H15/$B$3</x:f>
        <x:v>23</x:v>
      </x:c>
      <x:c r="H15" s="42" t="n">
        <x:v>1437.73</x:v>
      </x:c>
      <x:c r="I15" s="39" t="n">
        <x:f>IF(J15="","",J15/$B$3)</x:f>
        <x:v>30</x:v>
      </x:c>
      <x:c r="J15" s="42" t="n">
        <x:v>1875.3</x:v>
      </x:c>
      <x:c r="K15" s="39" t="n">
        <x:f>IF(L15="","",L15/$B$3)</x:f>
        <x:v>2400</x:v>
      </x:c>
      <x:c r="L15" s="42" t="n">
        <x:v>150024</x:v>
      </x:c>
    </x:row>
    <x:row r="16">
      <x:c r="A16" s="36" t="str">
        <x:v>BH-30</x:v>
      </x:c>
      <x:c r="B16" s="36" t="str">
        <x:v>Permanent Gravity</x:v>
      </x:c>
      <x:c r="C16" s="36" t="str">
        <x:v>Permanent Fruits</x:v>
      </x:c>
      <x:c r="D16" s="36" t="str">
        <x:v>Permanent Fruits, blox-fruits</x:v>
      </x:c>
      <x:c r="E16" s="36" t="str">
        <x:v>Active</x:v>
      </x:c>
      <x:c r="F16" s="45" t="n">
        <x:v>10</x:v>
      </x:c>
      <x:c r="G16" s="39" t="n">
        <x:f>H16/$B$3</x:f>
        <x:v>21.98992161254199</x:v>
      </x:c>
      <x:c r="H16" s="42" t="n">
        <x:v>1374.59</x:v>
      </x:c>
      <x:c r="I16" s="39" t="n">
        <x:f>IF(J16="","",J16/$B$3)</x:f>
        <x:v>28.74996000639898</x:v>
      </x:c>
      <x:c r="J16" s="42" t="n">
        <x:v>1797.16</x:v>
      </x:c>
      <x:c r="K16" s="39" t="n">
        <x:f>IF(L16="","",L16/$B$3)</x:f>
        <x:v>2300</x:v>
      </x:c>
      <x:c r="L16" s="42" t="n">
        <x:v>143773</x:v>
      </x:c>
    </x:row>
    <x:row r="17">
      <x:c r="A17" s="36" t="str">
        <x:v>BH-31</x:v>
      </x:c>
      <x:c r="B17" s="36" t="str">
        <x:v>Permanent Venom</x:v>
      </x:c>
      <x:c r="C17" s="36" t="str">
        <x:v>Permanent Fruits</x:v>
      </x:c>
      <x:c r="D17" s="36" t="str">
        <x:v>Permanent Fruits, blox-fruits</x:v>
      </x:c>
      <x:c r="E17" s="36" t="str">
        <x:v>Active</x:v>
      </x:c>
      <x:c r="F17" s="45" t="n">
        <x:v>10</x:v>
      </x:c>
      <x:c r="G17" s="39" t="n">
        <x:f>H17/$B$3</x:f>
        <x:v>23.37002079667253</x:v>
      </x:c>
      <x:c r="H17" s="42" t="n">
        <x:v>1460.86</x:v>
      </x:c>
      <x:c r="I17" s="39" t="n">
        <x:f>IF(J17="","",J17/$B$3)</x:f>
        <x:v>30.62997920332747</x:v>
      </x:c>
      <x:c r="J17" s="42" t="n">
        <x:v>1914.68</x:v>
      </x:c>
      <x:c r="K17" s="39" t="n">
        <x:f>IF(L17="","",L17/$B$3)</x:f>
        <x:v>2450</x:v>
      </x:c>
      <x:c r="L17" s="42" t="n">
        <x:v>153149.5</x:v>
      </x:c>
    </x:row>
    <x:row r="18">
      <x:c r="A18" s="36" t="str">
        <x:v>BH-32</x:v>
      </x:c>
      <x:c r="B18" s="36" t="str">
        <x:v>Permanent Phoenix</x:v>
      </x:c>
      <x:c r="C18" s="36" t="str">
        <x:v>Permanent Fruits</x:v>
      </x:c>
      <x:c r="D18" s="36" t="str">
        <x:v>Permanent Fruits, blox-fruits</x:v>
      </x:c>
      <x:c r="E18" s="36" t="str">
        <x:v>Active</x:v>
      </x:c>
      <x:c r="F18" s="45" t="n">
        <x:v>10</x:v>
      </x:c>
      <x:c r="G18" s="39" t="n">
        <x:f>H18/$B$3</x:f>
        <x:v>19.749960006398975</x:v>
      </x:c>
      <x:c r="H18" s="42" t="n">
        <x:v>1234.57</x:v>
      </x:c>
      <x:c r="I18" s="39" t="n">
        <x:f>IF(J18="","",J18/$B$3)</x:f>
        <x:v>25</x:v>
      </x:c>
      <x:c r="J18" s="42" t="n">
        <x:v>1562.75</x:v>
      </x:c>
      <x:c r="K18" s="39" t="n">
        <x:f>IF(L18="","",L18/$B$3)</x:f>
        <x:v>2000</x:v>
      </x:c>
      <x:c r="L18" s="42" t="n">
        <x:v>125020</x:v>
      </x:c>
    </x:row>
    <x:row r="19">
      <x:c r="A19" s="36" t="str">
        <x:v>BH-33</x:v>
      </x:c>
      <x:c r="B19" s="36" t="str">
        <x:v>Permanent Sound</x:v>
      </x:c>
      <x:c r="C19" s="36" t="str">
        <x:v>Permanent Fruits</x:v>
      </x:c>
      <x:c r="D19" s="36" t="str">
        <x:v>Permanent Fruits, blox-fruits</x:v>
      </x:c>
      <x:c r="E19" s="36" t="str">
        <x:v>Active</x:v>
      </x:c>
      <x:c r="F19" s="45" t="n">
        <x:v>10</x:v>
      </x:c>
      <x:c r="G19" s="39" t="n">
        <x:f>H19/$B$3</x:f>
        <x:v>18</x:v>
      </x:c>
      <x:c r="H19" s="42" t="n">
        <x:v>1125.18</x:v>
      </x:c>
      <x:c r="I19" s="39" t="n">
        <x:f>IF(J19="","",J19/$B$3)</x:f>
        <x:v>23.749960006398975</x:v>
      </x:c>
      <x:c r="J19" s="42" t="n">
        <x:v>1484.61</x:v>
      </x:c>
      <x:c r="K19" s="39" t="n">
        <x:f>IF(L19="","",L19/$B$3)</x:f>
        <x:v>1900</x:v>
      </x:c>
      <x:c r="L19" s="42" t="n">
        <x:v>118769</x:v>
      </x:c>
    </x:row>
    <x:row r="20">
      <x:c r="A20" s="36" t="str">
        <x:v>BH-34</x:v>
      </x:c>
      <x:c r="B20" s="36" t="str">
        <x:v>Permanent Spider</x:v>
      </x:c>
      <x:c r="C20" s="36" t="str">
        <x:v>Permanent Fruits</x:v>
      </x:c>
      <x:c r="D20" s="36" t="str">
        <x:v>Permanent Fruits, blox-fruits</x:v>
      </x:c>
      <x:c r="E20" s="36" t="str">
        <x:v>Active</x:v>
      </x:c>
      <x:c r="F20" s="45" t="n">
        <x:v>10</x:v>
      </x:c>
      <x:c r="G20" s="39" t="n">
        <x:f>H20/$B$3</x:f>
        <x:v>18.52999520076788</x:v>
      </x:c>
      <x:c r="H20" s="42" t="n">
        <x:v>1158.31</x:v>
      </x:c>
      <x:c r="I20" s="39" t="n">
        <x:f>IF(J20="","",J20/$B$3)</x:f>
        <x:v>22.50007998720205</x:v>
      </x:c>
      <x:c r="J20" s="42" t="n">
        <x:v>1406.48</x:v>
      </x:c>
      <x:c r="K20" s="39" t="n">
        <x:f>IF(L20="","",L20/$B$3)</x:f>
        <x:v>1800</x:v>
      </x:c>
      <x:c r="L20" s="42" t="n">
        <x:v>112518</x:v>
      </x:c>
    </x:row>
    <x:row r="21">
      <x:c r="A21" s="36" t="str">
        <x:v>BH-35</x:v>
      </x:c>
      <x:c r="B21" s="36" t="str">
        <x:v>Permanent Creation</x:v>
      </x:c>
      <x:c r="C21" s="36" t="str">
        <x:v>Permanent Fruits</x:v>
      </x:c>
      <x:c r="D21" s="36" t="str">
        <x:v>Permanent Fruits, blox-fruits</x:v>
      </x:c>
      <x:c r="E21" s="36" t="str">
        <x:v>Active</x:v>
      </x:c>
      <x:c r="F21" s="45" t="n">
        <x:v>10</x:v>
      </x:c>
      <x:c r="G21" s="39" t="n">
        <x:f>H21/$B$3</x:f>
        <x:v>16.689969604863222</x:v>
      </x:c>
      <x:c r="H21" s="42" t="n">
        <x:v>1043.29</x:v>
      </x:c>
      <x:c r="I21" s="39" t="n">
        <x:f>IF(J21="","",J21/$B$3)</x:f>
        <x:v>21.869940809470485</x:v>
      </x:c>
      <x:c r="J21" s="42" t="n">
        <x:v>1367.09</x:v>
      </x:c>
      <x:c r="K21" s="39" t="n">
        <x:f>IF(L21="","",L21/$B$3)</x:f>
        <x:v>1750</x:v>
      </x:c>
      <x:c r="L21" s="42" t="n">
        <x:v>109392.5</x:v>
      </x:c>
    </x:row>
    <x:row r="22">
      <x:c r="A22" s="36" t="str">
        <x:v>BH-36</x:v>
      </x:c>
      <x:c r="B22" s="36" t="str">
        <x:v>Permanent Love</x:v>
      </x:c>
      <x:c r="C22" s="36" t="str">
        <x:v>Permanent Fruits</x:v>
      </x:c>
      <x:c r="D22" s="36" t="str">
        <x:v>Permanent Fruits, blox-fruits</x:v>
      </x:c>
      <x:c r="E22" s="36" t="str">
        <x:v>Active</x:v>
      </x:c>
      <x:c r="F22" s="45" t="n">
        <x:v>10</x:v>
      </x:c>
      <x:c r="G22" s="39" t="n">
        <x:f>H22/$B$3</x:f>
        <x:v>16.330027195648697</x:v>
      </x:c>
      <x:c r="H22" s="42" t="n">
        <x:v>1020.79</x:v>
      </x:c>
      <x:c r="I22" s="39" t="n">
        <x:f>IF(J22="","",J22/$B$3)</x:f>
        <x:v>21.250039993601025</x:v>
      </x:c>
      <x:c r="J22" s="42" t="n">
        <x:v>1328.34</x:v>
      </x:c>
      <x:c r="K22" s="39" t="n">
        <x:f>IF(L22="","",L22/$B$3)</x:f>
        <x:v>1700</x:v>
      </x:c>
      <x:c r="L22" s="42" t="n">
        <x:v>106267</x:v>
      </x:c>
    </x:row>
    <x:row r="23">
      <x:c r="A23" s="36" t="str">
        <x:v>BH-37</x:v>
      </x:c>
      <x:c r="B23" s="36" t="str">
        <x:v>Permanent Buddha</x:v>
      </x:c>
      <x:c r="C23" s="36" t="str">
        <x:v>Permanent Fruits</x:v>
      </x:c>
      <x:c r="D23" s="36" t="str">
        <x:v>Permanent Fruits, blox-fruits</x:v>
      </x:c>
      <x:c r="E23" s="36" t="str">
        <x:v>Active</x:v>
      </x:c>
      <x:c r="F23" s="45" t="n">
        <x:v>10</x:v>
      </x:c>
      <x:c r="G23" s="39" t="n">
        <x:f>H23/$B$3</x:f>
        <x:v>16.19996800511918</x:v>
      </x:c>
      <x:c r="H23" s="42" t="n">
        <x:v>1012.66</x:v>
      </x:c>
      <x:c r="I23" s="39" t="n">
        <x:f>IF(J23="","",J23/$B$3)</x:f>
        <x:v>20.62006079027356</x:v>
      </x:c>
      <x:c r="J23" s="42" t="n">
        <x:v>1288.96</x:v>
      </x:c>
      <x:c r="K23" s="39" t="n">
        <x:f>IF(L23="","",L23/$B$3)</x:f>
        <x:v>1650</x:v>
      </x:c>
      <x:c r="L23" s="42" t="n">
        <x:v>103141.5</x:v>
      </x:c>
    </x:row>
    <x:row r="24">
      <x:c r="A24" s="36" t="str">
        <x:v>BH-38</x:v>
      </x:c>
      <x:c r="B24" s="36" t="str">
        <x:v>Permanent Quake</x:v>
      </x:c>
      <x:c r="C24" s="36" t="str">
        <x:v>Permanent Fruits</x:v>
      </x:c>
      <x:c r="D24" s="36" t="str">
        <x:v>Permanent Fruits, blox-fruits</x:v>
      </x:c>
      <x:c r="E24" s="36" t="str">
        <x:v>Active</x:v>
      </x:c>
      <x:c r="F24" s="45" t="n">
        <x:v>10</x:v>
      </x:c>
      <x:c r="G24" s="39" t="n">
        <x:f>H24/$B$3</x:f>
        <x:v>14.500079987202048</x:v>
      </x:c>
      <x:c r="H24" s="42" t="n">
        <x:v>906.4</x:v>
      </x:c>
      <x:c r="I24" s="39" t="n">
        <x:f>IF(J24="","",J24/$B$3)</x:f>
        <x:v>18.749960006398975</x:v>
      </x:c>
      <x:c r="J24" s="42" t="n">
        <x:v>1172.06</x:v>
      </x:c>
      <x:c r="K24" s="39" t="n">
        <x:f>IF(L24="","",L24/$B$3)</x:f>
        <x:v>1500</x:v>
      </x:c>
      <x:c r="L24" s="42" t="n">
        <x:v>93765</x:v>
      </x:c>
    </x:row>
    <x:row r="25">
      <x:c r="A25" s="36" t="str">
        <x:v>BH-39</x:v>
      </x:c>
      <x:c r="B25" s="36" t="str">
        <x:v>Permanent Blizzard</x:v>
      </x:c>
      <x:c r="C25" s="36" t="str">
        <x:v>Permanent Fruits</x:v>
      </x:c>
      <x:c r="D25" s="36" t="str">
        <x:v>Permanent Fruits, blox-fruits</x:v>
      </x:c>
      <x:c r="E25" s="36" t="str">
        <x:v>Active</x:v>
      </x:c>
      <x:c r="F25" s="45" t="n">
        <x:v>10</x:v>
      </x:c>
      <x:c r="G25" s="39" t="n">
        <x:f>H25/$B$3</x:f>
        <x:v>24.50007998720205</x:v>
      </x:c>
      <x:c r="H25" s="42" t="n">
        <x:v>1531.5</x:v>
      </x:c>
      <x:c r="I25" s="39" t="n">
        <x:f>IF(J25="","",J25/$B$3)</x:f>
        <x:v>28.13005919052952</x:v>
      </x:c>
      <x:c r="J25" s="42" t="n">
        <x:v>1758.41</x:v>
      </x:c>
      <x:c r="K25" s="39" t="n">
        <x:f>IF(L25="","",L25/$B$3)</x:f>
        <x:v>2250</x:v>
      </x:c>
      <x:c r="L25" s="42" t="n">
        <x:v>140647.5</x:v>
      </x:c>
    </x:row>
    <x:row r="26">
      <x:c r="A26" s="36" t="str">
        <x:v>BH-40</x:v>
      </x:c>
      <x:c r="B26" s="36" t="str">
        <x:v>Permanent Pain</x:v>
      </x:c>
      <x:c r="C26" s="36" t="str">
        <x:v>Permanent Fruits</x:v>
      </x:c>
      <x:c r="D26" s="36" t="str">
        <x:v>Permanent Fruits, blox-fruits</x:v>
      </x:c>
      <x:c r="E26" s="36" t="str">
        <x:v>Active</x:v>
      </x:c>
      <x:c r="F26" s="45" t="n">
        <x:v>10</x:v>
      </x:c>
      <x:c r="G26" s="39" t="n">
        <x:f>H26/$B$3</x:f>
        <x:v>20.98992161254199</x:v>
      </x:c>
      <x:c r="H26" s="42" t="n">
        <x:v>1312.08</x:v>
      </x:c>
      <x:c r="I26" s="39" t="n">
        <x:f>IF(J26="","",J26/$B$3)</x:f>
        <x:v>27.50007998720205</x:v>
      </x:c>
      <x:c r="J26" s="42" t="n">
        <x:v>1719.03</x:v>
      </x:c>
      <x:c r="K26" s="39" t="n">
        <x:f>IF(L26="","",L26/$B$3)</x:f>
        <x:v>2200</x:v>
      </x:c>
      <x:c r="L26" s="42" t="n">
        <x:v>137522</x:v>
      </x:c>
    </x:row>
    <x:row r="27">
      <x:c r="A27" s="36" t="str">
        <x:v>BH-41</x:v>
      </x:c>
      <x:c r="B27" s="36" t="str">
        <x:v>Permanent Lightning</x:v>
      </x:c>
      <x:c r="C27" s="36" t="str">
        <x:v>Permanent Fruits</x:v>
      </x:c>
      <x:c r="D27" s="36" t="str">
        <x:v>Permanent Fruits, blox-fruits</x:v>
      </x:c>
      <x:c r="E27" s="36" t="str">
        <x:v>Active</x:v>
      </x:c>
      <x:c r="F27" s="45" t="n">
        <x:v>10</x:v>
      </x:c>
      <x:c r="G27" s="39" t="n">
        <x:f>H27/$B$3</x:f>
        <x:v>21.49000159974404</x:v>
      </x:c>
      <x:c r="H27" s="42" t="n">
        <x:v>1343.34</x:v>
      </x:c>
      <x:c r="I27" s="39" t="n">
        <x:f>IF(J27="","",J27/$B$3)</x:f>
        <x:v>26.250039993601025</x:v>
      </x:c>
      <x:c r="J27" s="42" t="n">
        <x:v>1640.89</x:v>
      </x:c>
      <x:c r="K27" s="39" t="n">
        <x:f>IF(L27="","",L27/$B$3)</x:f>
        <x:v>2100</x:v>
      </x:c>
      <x:c r="L27" s="42" t="n">
        <x:v>131271</x:v>
      </x:c>
    </x:row>
    <x:row r="28">
      <x:c r="A28" s="36" t="str">
        <x:v>BH-43</x:v>
      </x:c>
      <x:c r="B28" s="36" t="str">
        <x:v>Permanent Portal</x:v>
      </x:c>
      <x:c r="C28" s="36" t="str">
        <x:v>Permanent Fruits</x:v>
      </x:c>
      <x:c r="D28" s="36" t="str">
        <x:v>Permanent Fruits, blox-fruits</x:v>
      </x:c>
      <x:c r="E28" s="36" t="str">
        <x:v>Active</x:v>
      </x:c>
      <x:c r="F28" s="45" t="n">
        <x:v>10</x:v>
      </x:c>
      <x:c r="G28" s="39" t="n">
        <x:f>H28/$B$3</x:f>
        <x:v>19.749960006398975</x:v>
      </x:c>
      <x:c r="H28" s="42" t="n">
        <x:v>1234.57</x:v>
      </x:c>
      <x:c r="I28" s="39" t="n">
        <x:f>IF(J28="","",J28/$B$3)</x:f>
        <x:v>25</x:v>
      </x:c>
      <x:c r="J28" s="42" t="n">
        <x:v>1562.75</x:v>
      </x:c>
      <x:c r="K28" s="39" t="n">
        <x:f>IF(L28="","",L28/$B$3)</x:f>
        <x:v>2000</x:v>
      </x:c>
      <x:c r="L28" s="42" t="n">
        <x:v>125020</x:v>
      </x:c>
    </x:row>
    <x:row r="29">
      <x:c r="A29" s="36" t="str">
        <x:v>BH-44</x:v>
      </x:c>
      <x:c r="B29" s="36" t="str">
        <x:v>Permanent Rubber</x:v>
      </x:c>
      <x:c r="C29" s="36" t="str">
        <x:v>Permanent Fruits</x:v>
      </x:c>
      <x:c r="D29" s="36" t="str">
        <x:v>Permanent Fruits, blox-fruits</x:v>
      </x:c>
      <x:c r="E29" s="36" t="str">
        <x:v>Active</x:v>
      </x:c>
      <x:c r="F29" s="45" t="n">
        <x:v>10</x:v>
      </x:c>
      <x:c r="G29" s="39" t="n">
        <x:f>H29/$B$3</x:f>
        <x:v>11.500079987202048</x:v>
      </x:c>
      <x:c r="H29" s="42" t="n">
        <x:v>718.87</x:v>
      </x:c>
      <x:c r="I29" s="39" t="n">
        <x:f>IF(J29="","",J29/$B$3)</x:f>
        <x:v>15</x:v>
      </x:c>
      <x:c r="J29" s="42" t="n">
        <x:v>937.65</x:v>
      </x:c>
      <x:c r="K29" s="39" t="n">
        <x:f>IF(L29="","",L29/$B$3)</x:f>
        <x:v>1200</x:v>
      </x:c>
      <x:c r="L29" s="42" t="n">
        <x:v>75012</x:v>
      </x:c>
    </x:row>
    <x:row r="30">
      <x:c r="A30" s="36" t="str">
        <x:v>BH-45</x:v>
      </x:c>
      <x:c r="B30" s="36" t="str">
        <x:v>Permanent Light</x:v>
      </x:c>
      <x:c r="C30" s="36" t="str">
        <x:v>Permanent Fruits</x:v>
      </x:c>
      <x:c r="D30" s="36" t="str">
        <x:v>Permanent Fruits, blox-fruits</x:v>
      </x:c>
      <x:c r="E30" s="36" t="str">
        <x:v>Active</x:v>
      </x:c>
      <x:c r="F30" s="45" t="n">
        <x:v>10</x:v>
      </x:c>
      <x:c r="G30" s="39" t="n">
        <x:f>H30/$B$3</x:f>
        <x:v>10.390017597184452</x:v>
      </x:c>
      <x:c r="H30" s="42" t="n">
        <x:v>649.48</x:v>
      </x:c>
      <x:c r="I30" s="39" t="n">
        <x:f>IF(J30="","",J30/$B$3)</x:f>
        <x:v>13.749960006398977</x:v>
      </x:c>
      <x:c r="J30" s="42" t="n">
        <x:v>859.51</x:v>
      </x:c>
      <x:c r="K30" s="39" t="n">
        <x:f>IF(L30="","",L30/$B$3)</x:f>
        <x:v>1100</x:v>
      </x:c>
      <x:c r="L30" s="42" t="n">
        <x:v>68761</x:v>
      </x:c>
    </x:row>
    <x:row r="31">
      <x:c r="A31" s="36" t="str">
        <x:v>BH-46</x:v>
      </x:c>
      <x:c r="B31" s="36" t="str">
        <x:v>Permanent Magma</x:v>
      </x:c>
      <x:c r="C31" s="36" t="str">
        <x:v>Permanent Fruits</x:v>
      </x:c>
      <x:c r="D31" s="36" t="str">
        <x:v>Permanent Fruits, blox-fruits</x:v>
      </x:c>
      <x:c r="E31" s="36" t="str">
        <x:v>Active</x:v>
      </x:c>
      <x:c r="F31" s="45" t="n">
        <x:v>10</x:v>
      </x:c>
      <x:c r="G31" s="39" t="n">
        <x:f>H31/$B$3</x:f>
        <x:v>13</x:v>
      </x:c>
      <x:c r="H31" s="42" t="n">
        <x:v>812.63</x:v>
      </x:c>
      <x:c r="I31" s="39" t="n">
        <x:f>IF(J31="","",J31/$B$3)</x:f>
        <x:v>16.250039993601025</x:v>
      </x:c>
      <x:c r="J31" s="42" t="n">
        <x:v>1015.79</x:v>
      </x:c>
      <x:c r="K31" s="39" t="n">
        <x:f>IF(L31="","",L31/$B$3)</x:f>
        <x:v>1300</x:v>
      </x:c>
      <x:c r="L31" s="42" t="n">
        <x:v>81263</x:v>
      </x:c>
    </x:row>
    <x:row r="32">
      <x:c r="A32" s="36" t="str">
        <x:v>BH-49</x:v>
      </x:c>
      <x:c r="B32" s="36" t="str">
        <x:v>2x Boss Drops</x:v>
      </x:c>
      <x:c r="C32" s="36" t="str">
        <x:v>Gamepasses</x:v>
      </x:c>
      <x:c r="D32" s="36" t="str">
        <x:v>Gamepasses, blox-fruits</x:v>
      </x:c>
      <x:c r="E32" s="36" t="str">
        <x:v>Active</x:v>
      </x:c>
      <x:c r="F32" s="45" t="n">
        <x:v>10</x:v>
      </x:c>
      <x:c r="G32" s="39" t="n">
        <x:f>H32/$B$3</x:f>
        <x:v>3.490001599744041</x:v>
      </x:c>
      <x:c r="H32" s="42" t="n">
        <x:v>218.16</x:v>
      </x:c>
      <x:c r="I32" s="39" t="n">
        <x:f>IF(J32="","",J32/$B$3)</x:f>
        <x:v>4.3799392097264445</x:v>
      </x:c>
      <x:c r="J32" s="42" t="n">
        <x:v>273.79</x:v>
      </x:c>
      <x:c r="K32" s="39" t="n">
        <x:f>IF(L32="","",L32/$B$3)</x:f>
        <x:v>350</x:v>
      </x:c>
      <x:c r="L32" s="42" t="n">
        <x:v>21878.5</x:v>
      </x:c>
    </x:row>
    <x:row r="33">
      <x:c r="A33" s="36" t="str">
        <x:v>BH-50</x:v>
      </x:c>
      <x:c r="B33" s="36" t="str">
        <x:v>2x Mastery</x:v>
      </x:c>
      <x:c r="C33" s="36" t="str">
        <x:v>Gamepasses</x:v>
      </x:c>
      <x:c r="D33" s="36" t="str">
        <x:v>Gamepasses, blox-fruits</x:v>
      </x:c>
      <x:c r="E33" s="36" t="str">
        <x:v>Active</x:v>
      </x:c>
      <x:c r="F33" s="45" t="n">
        <x:v>10</x:v>
      </x:c>
      <x:c r="G33" s="39" t="n">
        <x:f>H33/$B$3</x:f>
        <x:v>4.299952007678772</x:v>
      </x:c>
      <x:c r="H33" s="42" t="n">
        <x:v>268.79</x:v>
      </x:c>
      <x:c r="I33" s="39" t="n">
        <x:f>IF(J33="","",J33/$B$3)</x:f>
        <x:v>5.629979203327468</x:v>
      </x:c>
      <x:c r="J33" s="42" t="n">
        <x:v>351.93</x:v>
      </x:c>
      <x:c r="K33" s="39" t="n">
        <x:f>IF(L33="","",L33/$B$3)</x:f>
        <x:v>450</x:v>
      </x:c>
      <x:c r="L33" s="42" t="n">
        <x:v>28129.5</x:v>
      </x:c>
    </x:row>
    <x:row r="34">
      <x:c r="A34" s="36" t="str">
        <x:v>BH-51</x:v>
      </x:c>
      <x:c r="B34" s="36" t="str">
        <x:v>2x Money</x:v>
      </x:c>
      <x:c r="C34" s="36" t="str">
        <x:v>Gamepasses</x:v>
      </x:c>
      <x:c r="D34" s="36" t="str">
        <x:v>Gamepasses, blox-fruits</x:v>
      </x:c>
      <x:c r="E34" s="36" t="str">
        <x:v>Active</x:v>
      </x:c>
      <x:c r="F34" s="45" t="n">
        <x:v>10</x:v>
      </x:c>
      <x:c r="G34" s="39" t="n">
        <x:f>H34/$B$3</x:f>
        <x:v>4.299952007678772</x:v>
      </x:c>
      <x:c r="H34" s="42" t="n">
        <x:v>268.79</x:v>
      </x:c>
      <x:c r="I34" s="39" t="n">
        <x:f>IF(J34="","",J34/$B$3)</x:f>
        <x:v>5.030075187969925</x:v>
      </x:c>
      <x:c r="J34" s="42" t="n">
        <x:v>314.43</x:v>
      </x:c>
      <x:c r="K34" s="39" t="n">
        <x:f>IF(L34="","",L34/$B$3)</x:f>
        <x:v>450</x:v>
      </x:c>
      <x:c r="L34" s="42" t="n">
        <x:v>28129.5</x:v>
      </x:c>
    </x:row>
    <x:row r="35">
      <x:c r="A35" s="36" t="str">
        <x:v>BH-52</x:v>
      </x:c>
      <x:c r="B35" s="36" t="str">
        <x:v>Fruit Notifier</x:v>
      </x:c>
      <x:c r="C35" s="36" t="str">
        <x:v>Gamepasses</x:v>
      </x:c>
      <x:c r="D35" s="36" t="str">
        <x:v>Gamepasses, blox-fruits</x:v>
      </x:c>
      <x:c r="E35" s="36" t="str">
        <x:v>Active</x:v>
      </x:c>
      <x:c r="F35" s="45" t="n">
        <x:v>10</x:v>
      </x:c>
      <x:c r="G35" s="39" t="n">
        <x:f>H35/$B$3</x:f>
        <x:v>26</x:v>
      </x:c>
      <x:c r="H35" s="42" t="n">
        <x:v>1625.26</x:v>
      </x:c>
      <x:c r="I35" s="39" t="n">
        <x:f>IF(J35="","",J35/$B$3)</x:f>
        <x:v>33.74996000639898</x:v>
      </x:c>
      <x:c r="J35" s="42" t="n">
        <x:v>2109.71</x:v>
      </x:c>
      <x:c r="K35" s="39" t="n">
        <x:f>IF(L35="","",L35/$B$3)</x:f>
        <x:v>2700</x:v>
      </x:c>
      <x:c r="L35" s="42" t="n">
        <x:v>168777</x:v>
      </x:c>
    </x:row>
    <x:row r="36">
      <x:c r="A36" s="36" t="str">
        <x:v>BH-53</x:v>
      </x:c>
      <x:c r="B36" s="36" t="str">
        <x:v>Fast Boat</x:v>
      </x:c>
      <x:c r="C36" s="36" t="str">
        <x:v>Gamepasses</x:v>
      </x:c>
      <x:c r="D36" s="36" t="str">
        <x:v>Gamepasses, blox-fruits</x:v>
      </x:c>
      <x:c r="E36" s="36" t="str">
        <x:v>Active</x:v>
      </x:c>
      <x:c r="F36" s="45" t="n">
        <x:v>10</x:v>
      </x:c>
      <x:c r="G36" s="39" t="n">
        <x:f>H36/$B$3</x:f>
        <x:v>3.490001599744041</x:v>
      </x:c>
      <x:c r="H36" s="42" t="n">
        <x:v>218.16</x:v>
      </x:c>
      <x:c r="I36" s="39" t="n">
        <x:f>IF(J36="","",J36/$B$3)</x:f>
        <x:v>4.3799392097264445</x:v>
      </x:c>
      <x:c r="J36" s="42" t="n">
        <x:v>273.79</x:v>
      </x:c>
      <x:c r="K36" s="39" t="n">
        <x:f>IF(L36="","",L36/$B$3)</x:f>
        <x:v>350</x:v>
      </x:c>
      <x:c r="L36" s="42" t="n">
        <x:v>21878.5</x:v>
      </x:c>
    </x:row>
    <x:row r="37">
      <x:c r="A37" s="36" t="str">
        <x:v>BH-54</x:v>
      </x:c>
      <x:c r="B37" s="36" t="str">
        <x:v>Dark Blade</x:v>
      </x:c>
      <x:c r="C37" s="36" t="str">
        <x:v>Gamepasses</x:v>
      </x:c>
      <x:c r="D37" s="36" t="str">
        <x:v>Gamepasses, blox-fruits</x:v>
      </x:c>
      <x:c r="E37" s="36" t="str">
        <x:v>Active</x:v>
      </x:c>
      <x:c r="F37" s="45" t="n">
        <x:v>10</x:v>
      </x:c>
      <x:c r="G37" s="39" t="n">
        <x:f>H37/$B$3</x:f>
        <x:v>12.500079987202048</x:v>
      </x:c>
      <x:c r="H37" s="42" t="n">
        <x:v>781.38</x:v>
      </x:c>
      <x:c r="I37" s="39" t="n">
        <x:f>IF(J37="","",J37/$B$3)</x:f>
        <x:v>15</x:v>
      </x:c>
      <x:c r="J37" s="42" t="n">
        <x:v>937.65</x:v>
      </x:c>
      <x:c r="K37" s="39" t="n">
        <x:f>IF(L37="","",L37/$B$3)</x:f>
        <x:v>1200</x:v>
      </x:c>
      <x:c r="L37" s="42" t="n">
        <x:v>75012</x:v>
      </x:c>
    </x:row>
    <x:row r="38">
      <x:c r="A38" s="36" t="str">
        <x:v>BH-56</x:v>
      </x:c>
      <x:c r="B38" s="36" t="str">
        <x:v>Permanent Ice</x:v>
      </x:c>
      <x:c r="C38" s="36" t="str">
        <x:v>Permanent Fruits</x:v>
      </x:c>
      <x:c r="D38" s="36" t="str">
        <x:v>Permanent Fruits, blox-fruits</x:v>
      </x:c>
      <x:c r="E38" s="36" t="str">
        <x:v>Active</x:v>
      </x:c>
      <x:c r="F38" s="45" t="n">
        <x:v>10</x:v>
      </x:c>
      <x:c r="G38" s="39" t="n">
        <x:f>H38/$B$3</x:f>
        <x:v>7.500079987202048</x:v>
      </x:c>
      <x:c r="H38" s="42" t="n">
        <x:v>468.83</x:v>
      </x:c>
      <x:c r="I38" s="39" t="str">
        <x:f>IF(J38="","",J38/$B$3)</x:f>
      </x:c>
      <x:c r="J38" s="42"/>
      <x:c r="K38" s="39" t="str">
        <x:f>IF(L38="","",L38/$B$3)</x:f>
      </x:c>
      <x:c r="L38" s="42"/>
    </x:row>
    <x:row r="39">
      <x:c r="A39" s="36" t="str">
        <x:v>BH-57</x:v>
      </x:c>
      <x:c r="B39" s="36" t="str">
        <x:v>free</x:v>
      </x:c>
      <x:c r="C39" s="36" t="str"/>
      <x:c r="D39" s="36" t="str">
        <x:v>mm2</x:v>
      </x:c>
      <x:c r="E39" s="36" t="str">
        <x:v>Active</x:v>
      </x:c>
      <x:c r="F39" s="45"/>
      <x:c r="G39" s="39" t="n">
        <x:f>H39/$B$3</x:f>
        <x:v>20</x:v>
      </x:c>
      <x:c r="H39" s="42" t="n">
        <x:v>1250.2</x:v>
      </x:c>
      <x:c r="I39" s="39" t="str">
        <x:f>IF(J39="","",J39/$B$3)</x:f>
      </x:c>
      <x:c r="J39" s="42"/>
      <x:c r="K39" s="39" t="str">
        <x:f>IF(L39="","",L39/$B$3)</x:f>
      </x:c>
      <x:c r="L39" s="42"/>
    </x:row>
    <x:row r="40">
      <x:c r="A40" s="36" t="str">
        <x:v>BH-58</x:v>
      </x:c>
      <x:c r="B40" s="36" t="str">
        <x:v>pet</x:v>
      </x:c>
      <x:c r="C40" s="36" t="str"/>
      <x:c r="D40" s="36" t="str">
        <x:v>pet-simulator</x:v>
      </x:c>
      <x:c r="E40" s="36" t="str">
        <x:v>Active</x:v>
      </x:c>
      <x:c r="F40" s="45"/>
      <x:c r="G40" s="39" t="n">
        <x:f>H40/$B$3</x:f>
        <x:v>1</x:v>
      </x:c>
      <x:c r="H40" s="42" t="n">
        <x:v>62.51</x:v>
      </x:c>
      <x:c r="I40" s="39" t="str">
        <x:f>IF(J40="","",J40/$B$3)</x:f>
      </x:c>
      <x:c r="J40" s="42"/>
      <x:c r="K40" s="39" t="str">
        <x:f>IF(L40="","",L40/$B$3)</x:f>
      </x:c>
      <x:c r="L40" s="42"/>
    </x:row>
    <x:row r="41">
      <x:c r="A41" s="36" t="str">
        <x:v>BH-59</x:v>
      </x:c>
      <x:c r="B41" s="36" t="str">
        <x:v>pet</x:v>
      </x:c>
      <x:c r="C41" s="36" t="str">
        <x:v>huge</x:v>
      </x:c>
      <x:c r="D41" s="36" t="str">
        <x:v>huge, pet-simulator</x:v>
      </x:c>
      <x:c r="E41" s="36" t="str">
        <x:v>Active</x:v>
      </x:c>
      <x:c r="F41" s="45" t="n">
        <x:v>10</x:v>
      </x:c>
      <x:c r="G41" s="39" t="n">
        <x:f>H41/$B$3</x:f>
        <x:v>0.5000799872020477</x:v>
      </x:c>
      <x:c r="H41" s="42" t="n">
        <x:v>31.26</x:v>
      </x:c>
      <x:c r="I41" s="39" t="str">
        <x:f>IF(J41="","",J41/$B$3)</x:f>
      </x:c>
      <x:c r="J41" s="42"/>
      <x:c r="K41" s="39" t="str">
        <x:f>IF(L41="","",L41/$B$3)</x:f>
      </x:c>
      <x:c r="L41" s="42"/>
    </x:row>
    <x:row r="42">
      <x:c r="A42" s="36" t="str">
        <x:v>BH-60</x:v>
      </x:c>
      <x:c r="B42" s="36" t="str">
        <x:v>Raccoon </x:v>
      </x:c>
      <x:c r="C42" s="36" t="str">
        <x:v>Super</x:v>
      </x:c>
      <x:c r="D42" s="36" t="str">
        <x:v>Super, grow-a-garden-2</x:v>
      </x:c>
      <x:c r="E42" s="36" t="str">
        <x:v>Active</x:v>
      </x:c>
      <x:c r="F42" s="45" t="n">
        <x:v>10</x:v>
      </x:c>
      <x:c r="G42" s="39" t="n">
        <x:f>H42/$B$3</x:f>
        <x:v>26.989921612541995</x:v>
      </x:c>
      <x:c r="H42" s="42" t="n">
        <x:v>1687.14</x:v>
      </x:c>
      <x:c r="I42" s="39" t="n">
        <x:f>IF(J42="","",J42/$B$3)</x:f>
        <x:v>30</x:v>
      </x:c>
      <x:c r="J42" s="42" t="n">
        <x:v>1875.3</x:v>
      </x:c>
      <x:c r="K42" s="39" t="n">
        <x:f>IF(L42="","",L42/$B$3)</x:f>
        <x:v>2000</x:v>
      </x:c>
      <x:c r="L42" s="42" t="n">
        <x:v>125020</x:v>
      </x:c>
    </x:row>
    <x:row r="43">
      <x:c r="A43" s="36" t="str">
        <x:v>BH-61</x:v>
      </x:c>
      <x:c r="B43" s="36" t="str">
        <x:v>Ice Serpent</x:v>
      </x:c>
      <x:c r="C43" s="36" t="str">
        <x:v>Super</x:v>
      </x:c>
      <x:c r="D43" s="36" t="str">
        <x:v>Super, grow-a-garden-2</x:v>
      </x:c>
      <x:c r="E43" s="36" t="str">
        <x:v>Active</x:v>
      </x:c>
      <x:c r="F43" s="45" t="n">
        <x:v>10</x:v>
      </x:c>
      <x:c r="G43" s="39" t="n">
        <x:f>H43/$B$3</x:f>
        <x:v>99.98992161254199</x:v>
      </x:c>
      <x:c r="H43" s="42" t="n">
        <x:v>6250.37</x:v>
      </x:c>
      <x:c r="I43" s="39" t="n">
        <x:f>IF(J43="","",J43/$B$3)</x:f>
        <x:v>110.00000000000001</x:v>
      </x:c>
      <x:c r="J43" s="42" t="n">
        <x:v>6876.1</x:v>
      </x:c>
      <x:c r="K43" s="39" t="n">
        <x:f>IF(L43="","",L43/$B$3)</x:f>
        <x:v>5000</x:v>
      </x:c>
      <x:c r="L43" s="42" t="n">
        <x:v>312550</x:v>
      </x:c>
    </x:row>
    <x:row r="44">
      <x:c r="A44" s="36" t="str">
        <x:v>BH-62</x:v>
      </x:c>
      <x:c r="B44" s="36" t="str">
        <x:v>Unicorn </x:v>
      </x:c>
      <x:c r="C44" s="36" t="str">
        <x:v>Mythic</x:v>
      </x:c>
      <x:c r="D44" s="36" t="str">
        <x:v>Mythic, grow-a-garden-2</x:v>
      </x:c>
      <x:c r="E44" s="36" t="str">
        <x:v>Active</x:v>
      </x:c>
      <x:c r="F44" s="45" t="n">
        <x:v>7</x:v>
      </x:c>
      <x:c r="G44" s="39" t="n">
        <x:f>H44/$B$3</x:f>
        <x:v>11.989921612541993</x:v>
      </x:c>
      <x:c r="H44" s="42" t="n">
        <x:v>749.49</x:v>
      </x:c>
      <x:c r="I44" s="39" t="n">
        <x:f>IF(J44="","",J44/$B$3)</x:f>
        <x:v>13</x:v>
      </x:c>
      <x:c r="J44" s="42" t="n">
        <x:v>812.63</x:v>
      </x:c>
      <x:c r="K44" s="39" t="n">
        <x:f>IF(L44="","",L44/$B$3)</x:f>
        <x:v>1000</x:v>
      </x:c>
      <x:c r="L44" s="42" t="n">
        <x:v>62510</x:v>
      </x:c>
    </x:row>
    <x:row r="45">
      <x:c r="A45" s="36" t="str">
        <x:v>BH-63</x:v>
      </x:c>
      <x:c r="B45" s="36" t="str">
        <x:v>Golden Dragonfly</x:v>
      </x:c>
      <x:c r="C45" s="36" t="str">
        <x:v>Mythic</x:v>
      </x:c>
      <x:c r="D45" s="36" t="str">
        <x:v>Mythic, grow-a-garden-2</x:v>
      </x:c>
      <x:c r="E45" s="36" t="str">
        <x:v>Active</x:v>
      </x:c>
      <x:c r="F45" s="45" t="n">
        <x:v>5</x:v>
      </x:c>
      <x:c r="G45" s="39" t="n">
        <x:f>H45/$B$3</x:f>
        <x:v>10.989921612541995</x:v>
      </x:c>
      <x:c r="H45" s="42" t="n">
        <x:v>686.98</x:v>
      </x:c>
      <x:c r="I45" s="39" t="n">
        <x:f>IF(J45="","",J45/$B$3)</x:f>
        <x:v>12</x:v>
      </x:c>
      <x:c r="J45" s="42" t="n">
        <x:v>750.12</x:v>
      </x:c>
      <x:c r="K45" s="39" t="n">
        <x:f>IF(L45="","",L45/$B$3)</x:f>
        <x:v>1000</x:v>
      </x:c>
      <x:c r="L45" s="42" t="n">
        <x:v>62510</x:v>
      </x:c>
    </x:row>
    <x:row r="46">
      <x:c r="A46" s="36" t="str">
        <x:v>BH-64</x:v>
      </x:c>
      <x:c r="B46" s="36" t="str">
        <x:v>Bear </x:v>
      </x:c>
      <x:c r="C46" s="36" t="str">
        <x:v>Mythic</x:v>
      </x:c>
      <x:c r="D46" s="36" t="str">
        <x:v>Mythic, grow-a-garden-2</x:v>
      </x:c>
      <x:c r="E46" s="36" t="str">
        <x:v>Active</x:v>
      </x:c>
      <x:c r="F46" s="45" t="n">
        <x:v>5</x:v>
      </x:c>
      <x:c r="G46" s="39" t="n">
        <x:f>H46/$B$3</x:f>
        <x:v>13.989921612541993</x:v>
      </x:c>
      <x:c r="H46" s="42" t="n">
        <x:v>874.51</x:v>
      </x:c>
      <x:c r="I46" s="39" t="n">
        <x:f>IF(J46="","",J46/$B$3)</x:f>
        <x:v>15</x:v>
      </x:c>
      <x:c r="J46" s="42" t="n">
        <x:v>937.65</x:v>
      </x:c>
      <x:c r="K46" s="39" t="n">
        <x:f>IF(L46="","",L46/$B$3)</x:f>
        <x:v>1000</x:v>
      </x:c>
      <x:c r="L46" s="42" t="n">
        <x:v>62510</x:v>
      </x:c>
    </x:row>
    <x:row r="47">
      <x:c r="A47" s="36" t="str">
        <x:v>BH-65</x:v>
      </x:c>
      <x:c r="B47" s="36" t="str">
        <x:v>Monkey </x:v>
      </x:c>
      <x:c r="C47" s="36" t="str"/>
      <x:c r="D47" s="36" t="str">
        <x:v>grow-a-garden-2</x:v>
      </x:c>
      <x:c r="E47" s="36" t="str">
        <x:v>Active</x:v>
      </x:c>
      <x:c r="F47" s="45" t="n">
        <x:v>7</x:v>
      </x:c>
      <x:c r="G47" s="39" t="n">
        <x:f>H47/$B$3</x:f>
        <x:v>11.989921612541993</x:v>
      </x:c>
      <x:c r="H47" s="42" t="n">
        <x:v>749.49</x:v>
      </x:c>
      <x:c r="I47" s="39" t="n">
        <x:f>IF(J47="","",J47/$B$3)</x:f>
        <x:v>14</x:v>
      </x:c>
      <x:c r="J47" s="42" t="n">
        <x:v>875.14</x:v>
      </x:c>
      <x:c r="K47" s="39" t="n">
        <x:f>IF(L47="","",L47/$B$3)</x:f>
        <x:v>959.9800031994881</x:v>
      </x:c>
      <x:c r="L47" s="42" t="n">
        <x:v>60008.35</x:v>
      </x:c>
    </x:row>
    <x:row r="48">
      <x:c r="A48" s="36" t="str">
        <x:v>BH-66</x:v>
      </x:c>
      <x:c r="B48" s="36" t="str">
        <x:v>Bee</x:v>
      </x:c>
      <x:c r="C48" s="36" t="str">
        <x:v>Legendary</x:v>
      </x:c>
      <x:c r="D48" s="36" t="str">
        <x:v>Legendary, grow-a-garden-2</x:v>
      </x:c>
      <x:c r="E48" s="36" t="str">
        <x:v>Active</x:v>
      </x:c>
      <x:c r="F48" s="45" t="n">
        <x:v>5</x:v>
      </x:c>
      <x:c r="G48" s="39" t="n">
        <x:f>H48/$B$3</x:f>
        <x:v>7.989921612541993</x:v>
      </x:c>
      <x:c r="H48" s="42" t="n">
        <x:v>499.45</x:v>
      </x:c>
      <x:c r="I48" s="39" t="n">
        <x:f>IF(J48="","",J48/$B$3)</x:f>
        <x:v>8.989921612541995</x:v>
      </x:c>
      <x:c r="J48" s="42" t="n">
        <x:v>561.96</x:v>
      </x:c>
      <x:c r="K48" s="39" t="n">
        <x:f>IF(L48="","",L48/$B$3)</x:f>
        <x:v>719.989921612542</x:v>
      </x:c>
      <x:c r="L48" s="42" t="n">
        <x:v>45006.57</x:v>
      </x:c>
    </x:row>
    <x:row r="49">
      <x:c r="A49" s="36" t="str">
        <x:v>BH-67</x:v>
      </x:c>
      <x:c r="B49" s="36" t="str">
        <x:v>Robin </x:v>
      </x:c>
      <x:c r="C49" s="36" t="str">
        <x:v>Epic</x:v>
      </x:c>
      <x:c r="D49" s="36" t="str">
        <x:v>Epic, grow-a-garden-2</x:v>
      </x:c>
      <x:c r="E49" s="36" t="str">
        <x:v>Active</x:v>
      </x:c>
      <x:c r="F49" s="45" t="n">
        <x:v>5</x:v>
      </x:c>
      <x:c r="G49" s="39" t="n">
        <x:f>H49/$B$3</x:f>
        <x:v>2.9899216125419934</x:v>
      </x:c>
      <x:c r="H49" s="42" t="n">
        <x:v>186.9</x:v>
      </x:c>
      <x:c r="I49" s="39" t="n">
        <x:f>IF(J49="","",J49/$B$3)</x:f>
        <x:v>3.090065589505679</x:v>
      </x:c>
      <x:c r="J49" s="42" t="n">
        <x:v>193.16</x:v>
      </x:c>
      <x:c r="K49" s="39" t="n">
        <x:f>IF(L49="","",L49/$B$3)</x:f>
        <x:v>300</x:v>
      </x:c>
      <x:c r="L49" s="42" t="n">
        <x:v>18753</x:v>
      </x:c>
    </x:row>
    <x:row r="50">
      <x:c r="A50" s="36" t="str">
        <x:v>BH-68</x:v>
      </x:c>
      <x:c r="B50" s="36" t="str">
        <x:v>Turtle</x:v>
      </x:c>
      <x:c r="C50" s="36" t="str">
        <x:v>Rare</x:v>
      </x:c>
      <x:c r="D50" s="36" t="str">
        <x:v>Rare, grow-a-garden-2</x:v>
      </x:c>
      <x:c r="E50" s="36" t="str">
        <x:v>Active</x:v>
      </x:c>
      <x:c r="F50" s="45" t="n">
        <x:v>6</x:v>
      </x:c>
      <x:c r="G50" s="39" t="n">
        <x:f>H50/$B$3</x:f>
        <x:v>1.9899216125419934</x:v>
      </x:c>
      <x:c r="H50" s="42" t="n">
        <x:v>124.39</x:v>
      </x:c>
      <x:c r="I50" s="39" t="n">
        <x:f>IF(J50="","",J50/$B$3)</x:f>
        <x:v>2.5000799872020476</x:v>
      </x:c>
      <x:c r="J50" s="42" t="n">
        <x:v>156.28</x:v>
      </x:c>
      <x:c r="K50" s="39" t="n">
        <x:f>IF(L50="","",L50/$B$3)</x:f>
        <x:v>160</x:v>
      </x:c>
      <x:c r="L50" s="42" t="n">
        <x:v>10001.6</x:v>
      </x:c>
    </x:row>
    <x:row r="51">
      <x:c r="A51" s="36" t="str">
        <x:v>BH-69</x:v>
      </x:c>
      <x:c r="B51" s="36" t="str">
        <x:v>Deer</x:v>
      </x:c>
      <x:c r="C51" s="36" t="str">
        <x:v>Rare</x:v>
      </x:c>
      <x:c r="D51" s="36" t="str">
        <x:v>Rare, adopt-me</x:v>
      </x:c>
      <x:c r="E51" s="36" t="str">
        <x:v>Active</x:v>
      </x:c>
      <x:c r="F51" s="45" t="n">
        <x:v>5</x:v>
      </x:c>
      <x:c r="G51" s="39" t="n">
        <x:f>H51/$B$3</x:f>
        <x:v>1.490001599744041</x:v>
      </x:c>
      <x:c r="H51" s="42" t="n">
        <x:v>93.14</x:v>
      </x:c>
      <x:c r="I51" s="39" t="n">
        <x:f>IF(J51="","",J51/$B$3)</x:f>
        <x:v>2</x:v>
      </x:c>
      <x:c r="J51" s="42" t="n">
        <x:v>125.02</x:v>
      </x:c>
      <x:c r="K51" s="39" t="n">
        <x:f>IF(L51="","",L51/$B$3)</x:f>
        <x:v>120</x:v>
      </x:c>
      <x:c r="L51" s="42" t="n">
        <x:v>7501.2</x:v>
      </x:c>
    </x:row>
    <x:row r="52">
      <x:c r="A52" s="36" t="str">
        <x:v>BH-70</x:v>
      </x:c>
      <x:c r="B52" s="36" t="str">
        <x:v>Black Dragon</x:v>
      </x:c>
      <x:c r="C52" s="36" t="str">
        <x:v>Super</x:v>
      </x:c>
      <x:c r="D52" s="36" t="str">
        <x:v>Super, grow-a-garden-2</x:v>
      </x:c>
      <x:c r="E52" s="36" t="str">
        <x:v>Active</x:v>
      </x:c>
      <x:c r="F52" s="45" t="n">
        <x:v>5</x:v>
      </x:c>
      <x:c r="G52" s="39" t="n">
        <x:f>H52/$B$3</x:f>
        <x:v>149.98992161254202</x:v>
      </x:c>
      <x:c r="H52" s="42" t="n">
        <x:v>9375.87</x:v>
      </x:c>
      <x:c r="I52" s="39" t="n">
        <x:f>IF(J52="","",J52/$B$3)</x:f>
        <x:v>160</x:v>
      </x:c>
      <x:c r="J52" s="42" t="n">
        <x:v>10001.6</x:v>
      </x:c>
      <x:c r="K52" s="39" t="n">
        <x:f>IF(L52="","",L52/$B$3)</x:f>
        <x:v>10000</x:v>
      </x:c>
      <x:c r="L52" s="42" t="n">
        <x:v>625100</x:v>
      </x:c>
    </x:row>
    <x:row r="53">
      <x:c r="A53" s="36" t="str">
        <x:v>BH-71</x:v>
      </x:c>
      <x:c r="B53" s="36" t="str">
        <x:v>Vine Wrapper</x:v>
      </x:c>
      <x:c r="C53" s="36" t="str">
        <x:v>Game Passes/Gear </x:v>
      </x:c>
      <x:c r="D53" s="36" t="str">
        <x:v>Game Passes/Gear , grow-a-garden-2</x:v>
      </x:c>
      <x:c r="E53" s="36" t="str">
        <x:v>Active</x:v>
      </x:c>
      <x:c r="F53" s="45" t="n">
        <x:v>5</x:v>
      </x:c>
      <x:c r="G53" s="39" t="n">
        <x:f>H53/$B$3</x:f>
        <x:v>8.989921612541995</x:v>
      </x:c>
      <x:c r="H53" s="42" t="n">
        <x:v>561.96</x:v>
      </x:c>
      <x:c r="I53" s="39" t="n">
        <x:f>IF(J53="","",J53/$B$3)</x:f>
        <x:v>9.989921612541995</x:v>
      </x:c>
      <x:c r="J53" s="42" t="n">
        <x:v>624.47</x:v>
      </x:c>
      <x:c r="K53" s="39" t="n">
        <x:f>IF(L53="","",L53/$B$3)</x:f>
        <x:v>500</x:v>
      </x:c>
      <x:c r="L53" s="42" t="n">
        <x:v>31255</x:v>
      </x:c>
    </x:row>
    <x:row r="54">
      <x:c r="A54" s="36" t="str">
        <x:v>BH-72</x:v>
      </x:c>
      <x:c r="B54" s="36" t="str">
        <x:v>Freeze Ray </x:v>
      </x:c>
      <x:c r="C54" s="36" t="str">
        <x:v>Game Passes/Gear</x:v>
      </x:c>
      <x:c r="D54" s="36" t="str">
        <x:v>Game Passes/Gear, grow-a-garden-2</x:v>
      </x:c>
      <x:c r="E54" s="36" t="str">
        <x:v>Active</x:v>
      </x:c>
      <x:c r="F54" s="45" t="n">
        <x:v>5</x:v>
      </x:c>
      <x:c r="G54" s="39" t="n">
        <x:f>H54/$B$3</x:f>
        <x:v>11.989921612541993</x:v>
      </x:c>
      <x:c r="H54" s="42" t="n">
        <x:v>749.49</x:v>
      </x:c>
      <x:c r="I54" s="39" t="n">
        <x:f>IF(J54="","",J54/$B$3)</x:f>
        <x:v>13</x:v>
      </x:c>
      <x:c r="J54" s="42" t="n">
        <x:v>812.63</x:v>
      </x:c>
      <x:c r="K54" s="39" t="n">
        <x:f>IF(L54="","",L54/$B$3)</x:f>
        <x:v>750</x:v>
      </x:c>
      <x:c r="L54" s="42" t="n">
        <x:v>46882.5</x:v>
      </x:c>
    </x:row>
    <x:row r="55">
      <x:c r="A55" s="36" t="str">
        <x:v>BH-73</x:v>
      </x:c>
      <x:c r="B55" s="36" t="str">
        <x:v>Rainbow Magic Carpet</x:v>
      </x:c>
      <x:c r="C55" s="36" t="str">
        <x:v>Game Passes/Gear</x:v>
      </x:c>
      <x:c r="D55" s="36" t="str">
        <x:v>Game Passes/Gear, grow-a-garden-2</x:v>
      </x:c>
      <x:c r="E55" s="36" t="str">
        <x:v>Active</x:v>
      </x:c>
      <x:c r="F55" s="45" t="n">
        <x:v>5</x:v>
      </x:c>
      <x:c r="G55" s="39" t="n">
        <x:f>H55/$B$3</x:f>
        <x:v>9.490001599744042</x:v>
      </x:c>
      <x:c r="H55" s="42" t="n">
        <x:v>593.22</x:v>
      </x:c>
      <x:c r="I55" s="39" t="n">
        <x:f>IF(J55="","",J55/$B$3)</x:f>
        <x:v>10</x:v>
      </x:c>
      <x:c r="J55" s="42" t="n">
        <x:v>625.1</x:v>
      </x:c>
      <x:c r="K55" s="39" t="n">
        <x:f>IF(L55="","",L55/$B$3)</x:f>
        <x:v>600</x:v>
      </x:c>
      <x:c r="L55" s="42" t="n">
        <x:v>37506</x:v>
      </x:c>
    </x:row>
    <x:row r="56">
      <x:c r="A56" s="36" t="str">
        <x:v>BH-74</x:v>
      </x:c>
      <x:c r="B56" s="36" t="str">
        <x:v>Power Hose</x:v>
      </x:c>
      <x:c r="C56" s="36" t="str">
        <x:v>Game Passes/Gear</x:v>
      </x:c>
      <x:c r="D56" s="36" t="str">
        <x:v>Game Passes/Gear, grow-a-garden-2</x:v>
      </x:c>
      <x:c r="E56" s="36" t="str">
        <x:v>Active</x:v>
      </x:c>
      <x:c r="F56" s="45" t="n">
        <x:v>5</x:v>
      </x:c>
      <x:c r="G56" s="39" t="n">
        <x:f>H56/$B$3</x:f>
        <x:v>5.4900015997440414</x:v>
      </x:c>
      <x:c r="H56" s="42" t="n">
        <x:v>343.18</x:v>
      </x:c>
      <x:c r="I56" s="39" t="n">
        <x:f>IF(J56="","",J56/$B$3)</x:f>
        <x:v>6</x:v>
      </x:c>
      <x:c r="J56" s="42" t="n">
        <x:v>375.06</x:v>
      </x:c>
      <x:c r="K56" s="39" t="n">
        <x:f>IF(L56="","",L56/$B$3)</x:f>
        <x:v>300</x:v>
      </x:c>
      <x:c r="L56" s="42" t="n">
        <x:v>18753</x:v>
      </x:c>
    </x:row>
    <x:row r="57">
      <x:c r="A57" s="36" t="str">
        <x:v>BH-75</x:v>
      </x:c>
      <x:c r="B57" s="36" t="str">
        <x:v>+1 storage </x:v>
      </x:c>
      <x:c r="C57" s="36" t="str">
        <x:v>Gamepasses</x:v>
      </x:c>
      <x:c r="D57" s="36" t="str">
        <x:v>Gamepasses, blox-fruits</x:v>
      </x:c>
      <x:c r="E57" s="36" t="str">
        <x:v>Active</x:v>
      </x:c>
      <x:c r="F57" s="45" t="n">
        <x:v>5</x:v>
      </x:c>
      <x:c r="G57" s="39" t="n">
        <x:f>H57/$B$3</x:f>
        <x:v>5.500079987202048</x:v>
      </x:c>
      <x:c r="H57" s="42" t="n">
        <x:v>343.81</x:v>
      </x:c>
      <x:c r="I57" s="39" t="n">
        <x:f>IF(J57="","",J57/$B$3)</x:f>
        <x:v>7.500079987202048</x:v>
      </x:c>
      <x:c r="J57" s="42" t="n">
        <x:v>468.83</x:v>
      </x:c>
      <x:c r="K57" s="39" t="n">
        <x:f>IF(L57="","",L57/$B$3)</x:f>
        <x:v>400</x:v>
      </x:c>
      <x:c r="L57" s="42" t="n">
        <x:v>25004</x:v>
      </x:c>
    </x:row>
    <x:row r="58">
      <x:c r="A58" s="37" t="str">
        <x:v>BH-76</x:v>
      </x:c>
      <x:c r="B58" s="37" t="str">
        <x:v>Permanent Magnet </x:v>
      </x:c>
      <x:c r="C58" s="37" t="str">
        <x:v>Permanent Fruits</x:v>
      </x:c>
      <x:c r="D58" s="37" t="str">
        <x:v>SOON, Permanent Fruits, blox-fruits</x:v>
      </x:c>
      <x:c r="E58" s="37" t="str">
        <x:v>Active</x:v>
      </x:c>
      <x:c r="F58" s="46"/>
      <x:c r="G58" s="40" t="n">
        <x:f>H58/$B$3</x:f>
        <x:v>0</x:v>
      </x:c>
      <x:c r="H58" s="43"/>
      <x:c r="I58" s="40" t="str">
        <x:f>IF(J58="","",J58/$B$3)</x:f>
      </x:c>
      <x:c r="J58" s="43"/>
      <x:c r="K58" s="40" t="str">
        <x:f>IF(L58="","",L58/$B$3)</x:f>
      </x:c>
      <x:c r="L58" s="43"/>
    </x:row>
  </x:sheetData>
  <x:mergeCells>
    <x:mergeCell ref="A1:L1"/>
    <x:mergeCell ref="D3:L4"/>
  </x:mergeCells>
  <x:conditionalFormatting sqref="D7:D58">
    <x:cfRule type="containsText" dxfId="0" priority="1" operator="containsText" text="Rare"/>
    <x:cfRule type="containsText" dxfId="1" priority="2" operator="containsText" text="New"/>
  </x:conditionalFormatting>
  <x:pageMargins left="0.7" right="0.7" top="0.75" bottom="0.75" header="0.3" footer="0.3"/>
  <x:tableParts count="1">
    <x:tablePart xmlns:r="http://schemas.openxmlformats.org/officeDocument/2006/relationships" r:id="Rf2fedfb50ee443e4"/>
  </x:tableParts>
</x:worksheet>
</file>